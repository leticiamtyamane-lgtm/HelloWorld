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MEMORIA_CALCULO" sheetId="2" state="visible" r:id="rId2"/>
    <sheet xmlns:r="http://schemas.openxmlformats.org/officeDocument/2006/relationships" name="DADOS_EXEMPLO" sheetId="3" state="visible" r:id="rId3"/>
    <sheet xmlns:r="http://schemas.openxmlformats.org/officeDocument/2006/relationships" name="REGRAS" sheetId="4" state="visible" r:id="rId4"/>
  </sheets>
  <definedNames>
    <definedName name="_xlnm.Print_Area" localSheetId="0">'SIMULADOR'!$A$1:$L$40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#,##0.00 &quot;cx&quot;"/>
  </numFmts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2606D"/>
      <sz val="10"/>
    </font>
    <font>
      <b val="1"/>
      <color rgb="00FFFFFF"/>
      <sz val="12"/>
    </font>
    <font>
      <b val="1"/>
      <color rgb="0017365D"/>
      <sz val="9"/>
    </font>
    <font>
      <b val="1"/>
      <color rgb="0017365D"/>
    </font>
    <font>
      <b val="1"/>
      <color rgb="00243447"/>
      <sz val="10"/>
    </font>
    <font>
      <b val="1"/>
      <color rgb="0000B050"/>
      <sz val="22"/>
    </font>
    <font>
      <b val="1"/>
      <color rgb="00FFFFFF"/>
    </font>
    <font>
      <b val="1"/>
      <color rgb="00FFFFFF"/>
      <sz val="15"/>
    </font>
    <font>
      <b val="1"/>
      <color rgb="00FFFFFF"/>
      <sz val="16"/>
    </font>
    <font>
      <i val="1"/>
      <color rgb="00C00000"/>
      <sz val="9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DEBF7"/>
      </patternFill>
    </fill>
    <fill>
      <patternFill patternType="solid">
        <fgColor rgb="009FCDFF"/>
      </patternFill>
    </fill>
    <fill>
      <patternFill patternType="solid">
        <fgColor rgb="00C9D7FF"/>
      </patternFill>
    </fill>
    <fill>
      <patternFill patternType="solid">
        <fgColor rgb="00F7B6D2"/>
      </patternFill>
    </fill>
    <fill>
      <patternFill patternType="solid">
        <fgColor rgb="00B7F0A0"/>
      </patternFill>
    </fill>
    <fill>
      <patternFill patternType="solid">
        <fgColor rgb="0000B050"/>
      </patternFill>
    </fill>
    <fill>
      <patternFill patternType="solid">
        <fgColor rgb="00E2F0D9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3" fillId="2" borderId="0" pivotButton="0" quotePrefix="0" xfId="0"/>
    <xf numFmtId="0" fontId="3" fillId="9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5" fillId="0" borderId="0" pivotButton="0" quotePrefix="0" xfId="0"/>
    <xf numFmtId="165" fontId="5" fillId="11" borderId="1" pivotButton="0" quotePrefix="0" xfId="0"/>
    <xf numFmtId="4" fontId="5" fillId="11" borderId="1" pivotButton="0" quotePrefix="0" xfId="0"/>
    <xf numFmtId="0" fontId="8" fillId="3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5" fillId="12" borderId="0" pivotButton="0" quotePrefix="0" xfId="0"/>
    <xf numFmtId="0" fontId="0" fillId="13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 wrapText="1"/>
    </xf>
    <xf numFmtId="0" fontId="10" fillId="2" borderId="0" pivotButton="0" quotePrefix="0" xfId="0"/>
    <xf numFmtId="0" fontId="8" fillId="3" borderId="0" pivotButton="0" quotePrefix="0" xfId="0"/>
    <xf numFmtId="0" fontId="9" fillId="2" borderId="0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L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5" customWidth="1" min="4" max="4"/>
    <col width="18" customWidth="1" min="5" max="5"/>
    <col width="33" customWidth="1" min="6" max="6"/>
    <col width="18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🛒  SIMULADOR PNI — SUGESTÃO DE COMPRA</t>
        </is>
      </c>
    </row>
    <row r="2"/>
    <row r="3">
      <c r="A3" s="2" t="inlineStr">
        <is>
          <t>Altere os campos em azul para testar cenários. A etapa de Sell-out Meta/PDV foi retirada desta versão.</t>
        </is>
      </c>
    </row>
    <row r="5">
      <c r="A5" s="3" t="inlineStr">
        <is>
          <t>① CENÁRIO</t>
        </is>
      </c>
    </row>
    <row r="6">
      <c r="A6" s="4" t="inlineStr">
        <is>
          <t>Cliente</t>
        </is>
      </c>
      <c r="B6" s="5" t="inlineStr">
        <is>
          <t>2969</t>
        </is>
      </c>
      <c r="C6" s="4" t="inlineStr">
        <is>
          <t>Frete</t>
        </is>
      </c>
      <c r="D6" s="5" t="inlineStr">
        <is>
          <t>FOB</t>
        </is>
      </c>
    </row>
    <row r="7">
      <c r="A7" s="4" t="inlineStr">
        <is>
          <t>Agrupamento</t>
        </is>
      </c>
      <c r="B7" s="5" t="inlineStr">
        <is>
          <t>ESTRELAS</t>
        </is>
      </c>
      <c r="C7" s="4" t="inlineStr">
        <is>
          <t>CD</t>
        </is>
      </c>
      <c r="D7" s="5" t="inlineStr">
        <is>
          <t>CD01</t>
        </is>
      </c>
    </row>
    <row r="8">
      <c r="A8" s="4" t="inlineStr">
        <is>
          <t>Família</t>
        </is>
      </c>
      <c r="B8" s="5" t="inlineStr">
        <is>
          <t>LAVA ROUPA</t>
        </is>
      </c>
    </row>
    <row r="9">
      <c r="A9" s="4" t="inlineStr">
        <is>
          <t>Embalagem</t>
        </is>
      </c>
      <c r="B9" s="5" t="inlineStr">
        <is>
          <t>4X5000ML</t>
        </is>
      </c>
    </row>
    <row r="11">
      <c r="A11" s="3" t="inlineStr">
        <is>
          <t>② INFORMAÇÕES DE ENTRADA</t>
        </is>
      </c>
    </row>
    <row r="12">
      <c r="A12" s="4" t="inlineStr">
        <is>
          <t>Sell-out atual</t>
        </is>
      </c>
      <c r="B12" s="6" t="n">
        <v>69.5</v>
      </c>
      <c r="C12" s="4" t="inlineStr">
        <is>
          <t>Estoque atual</t>
        </is>
      </c>
      <c r="D12" s="6" t="n">
        <v>12.5</v>
      </c>
      <c r="E12" s="4" t="inlineStr">
        <is>
          <t>Dias de estoque ideal</t>
        </is>
      </c>
      <c r="F12" s="6" t="n">
        <v>45</v>
      </c>
      <c r="G12" s="4" t="inlineStr">
        <is>
          <t>Preço ROL / cx</t>
        </is>
      </c>
      <c r="H12" s="7" t="n">
        <v>114.6995</v>
      </c>
      <c r="I12" s="4" t="inlineStr">
        <is>
          <t>Meta ROL Família</t>
        </is>
      </c>
      <c r="J12" s="7" t="n">
        <v>4371.598</v>
      </c>
      <c r="K12" s="4" t="inlineStr">
        <is>
          <t>ROL Histórico</t>
        </is>
      </c>
      <c r="L12" s="7" t="n">
        <v>0</v>
      </c>
    </row>
    <row r="14">
      <c r="A14" s="4" t="inlineStr">
        <is>
          <t>Proporção ROL Família</t>
        </is>
      </c>
      <c r="B14" s="6" t="n">
        <v>17.31879</v>
      </c>
      <c r="C14" s="4" t="inlineStr">
        <is>
          <t>Proporção ROL Agrupamento</t>
        </is>
      </c>
      <c r="D14" s="6" t="n">
        <v>16.48396</v>
      </c>
      <c r="E14" s="4" t="inlineStr">
        <is>
          <t>Volume_S (entrada GA)</t>
        </is>
      </c>
      <c r="F14" s="6" t="n">
        <v>22.51443</v>
      </c>
      <c r="G14" s="4" t="inlineStr">
        <is>
          <t>Ruptura</t>
        </is>
      </c>
      <c r="H14" s="6" t="n">
        <v>1</v>
      </c>
      <c r="I14" s="4" t="inlineStr">
        <is>
          <t>Incremento</t>
        </is>
      </c>
      <c r="J14" s="6" t="n">
        <v>5.195637</v>
      </c>
    </row>
    <row r="17">
      <c r="A17" s="8" t="inlineStr">
        <is>
          <t>③ MEMÓRIA DE CÁLCULO — FLUXO DO ALGORITMO</t>
        </is>
      </c>
      <c r="J17" s="9" t="inlineStr">
        <is>
          <t>④ RESULTADO</t>
        </is>
      </c>
    </row>
    <row r="18" ht="30" customHeight="1">
      <c r="A18" s="10" t="inlineStr">
        <is>
          <t>ESTOQUE / SELL-OUT
Sell-out atual → Volume limite → Estoque → Disponibilidade de compra
→ Disponibilidade</t>
        </is>
      </c>
      <c r="C18" s="11" t="inlineStr">
        <is>
          <t>META ROL — FAMÍLIA
Proporção ROL dos últimos 6 meses → transformação em volume
→ Vol. Proporção Família</t>
        </is>
      </c>
      <c r="E18" s="12" t="inlineStr">
        <is>
          <t>META ROL — AGRUPAMENTO
Proporção ROL dos últimos 6 meses → transformação em volume
→ Vol. Proporção Agrupamento</t>
        </is>
      </c>
      <c r="G18" s="13" t="inlineStr">
        <is>
          <t>ALGORITMO GENÉTICO
Recebe disponibilidade + restrições de proporção e gera a sugestão
→ Volume sugerido</t>
        </is>
      </c>
      <c r="J18" s="14" t="inlineStr">
        <is>
          <t>VOLUME SUGERIDO
17.32 cx</t>
        </is>
      </c>
    </row>
    <row r="19" ht="30" customHeight="1"/>
    <row r="20" ht="30" customHeight="1"/>
    <row r="21" ht="30" customHeight="1">
      <c r="J21" s="15" t="inlineStr">
        <is>
          <t>Volume limite</t>
        </is>
      </c>
      <c r="K21" s="16" t="n">
        <v>92.66667</v>
      </c>
    </row>
    <row r="22" ht="30" customHeight="1">
      <c r="J22" s="15" t="inlineStr">
        <is>
          <t>Disponibilidade</t>
        </is>
      </c>
      <c r="K22" s="16" t="n">
        <v>80.16667</v>
      </c>
    </row>
    <row r="23">
      <c r="J23" s="15" t="inlineStr">
        <is>
          <t>Ruptura</t>
        </is>
      </c>
      <c r="K23" s="17" t="n">
        <v>1</v>
      </c>
    </row>
    <row r="24">
      <c r="J24" s="15" t="inlineStr">
        <is>
          <t>Incremento</t>
        </is>
      </c>
      <c r="K24" s="17" t="n">
        <v>5.195637</v>
      </c>
    </row>
    <row r="26">
      <c r="A26" s="8" t="inlineStr">
        <is>
          <t>⑤ DETALHAMENTO — MEMÓRIA DE CÁLCULO</t>
        </is>
      </c>
    </row>
    <row r="27">
      <c r="A27" s="18" t="inlineStr">
        <is>
          <t>Etapa</t>
        </is>
      </c>
      <c r="B27" s="18" t="inlineStr">
        <is>
          <t>Variável</t>
        </is>
      </c>
      <c r="C27" s="18" t="inlineStr">
        <is>
          <t>Entrada</t>
        </is>
      </c>
      <c r="D27" s="18" t="inlineStr">
        <is>
          <t>Fórmula / regra de negócio</t>
        </is>
      </c>
      <c r="E27" s="18" t="inlineStr">
        <is>
          <t>Resultado</t>
        </is>
      </c>
      <c r="F27" s="18" t="inlineStr">
        <is>
          <t>Explicação</t>
        </is>
      </c>
    </row>
    <row r="28">
      <c r="A28" s="19" t="inlineStr">
        <is>
          <t>1</t>
        </is>
      </c>
      <c r="B28" s="19" t="inlineStr">
        <is>
          <t>Sell-out</t>
        </is>
      </c>
      <c r="C28" s="19">
        <f>B12</f>
        <v/>
      </c>
      <c r="D28" s="19" t="inlineStr">
        <is>
          <t>Sell-out mais recente, quando disponível</t>
        </is>
      </c>
      <c r="E28" s="20" t="n">
        <v>69.5</v>
      </c>
      <c r="F28" s="19" t="inlineStr">
        <is>
          <t>Sell-out Meta/PDV não participa desta versão.</t>
        </is>
      </c>
      <c r="H28" s="21" t="inlineStr">
        <is>
          <t>💡 POR QUE O RESULTADO DEU ISSO?</t>
        </is>
      </c>
    </row>
    <row r="29">
      <c r="A29" s="19" t="inlineStr">
        <is>
          <t>1</t>
        </is>
      </c>
      <c r="B29" s="19" t="inlineStr">
        <is>
          <t>Sell-out diário</t>
        </is>
      </c>
      <c r="C29" s="19" t="inlineStr"/>
      <c r="D29" s="19" t="inlineStr">
        <is>
          <t>Sell-out ÷ 30</t>
        </is>
      </c>
      <c r="E29" s="20" t="n">
        <v>2.316666666666667</v>
      </c>
      <c r="F29" s="19" t="inlineStr">
        <is>
          <t>Conversão para média diária.</t>
        </is>
      </c>
      <c r="H29" s="22" t="inlineStr">
        <is>
          <t>O algoritmo recebe como principais restrições a disponibilidade de compra, a proporção de ROL da família e do agrupamento. O algoritmo genético combina essas restrições para encontrar a sugestão. Para canal direto, a ruptura pode aumentar a sugestão em até 30%.</t>
        </is>
      </c>
    </row>
    <row r="30">
      <c r="A30" s="19" t="inlineStr">
        <is>
          <t>1</t>
        </is>
      </c>
      <c r="B30" s="19" t="inlineStr">
        <is>
          <t>Volume limite</t>
        </is>
      </c>
      <c r="C30" s="19">
        <f>B12</f>
        <v/>
      </c>
      <c r="D30" s="19" t="inlineStr">
        <is>
          <t>Sell-out diário × 45 dias</t>
        </is>
      </c>
      <c r="E30" s="20" t="n">
        <v>92.66667</v>
      </c>
      <c r="F30" s="19" t="inlineStr">
        <is>
          <t>Limite de compra para a cobertura ideal.</t>
        </is>
      </c>
    </row>
    <row r="31">
      <c r="A31" s="19" t="inlineStr">
        <is>
          <t>1</t>
        </is>
      </c>
      <c r="B31" s="19" t="inlineStr">
        <is>
          <t>Estoque</t>
        </is>
      </c>
      <c r="C31" s="19">
        <f>D12</f>
        <v/>
      </c>
      <c r="D31" s="19" t="inlineStr">
        <is>
          <t>Estoque mais recente; se não houver, 0</t>
        </is>
      </c>
      <c r="E31" s="20" t="n">
        <v>12.5</v>
      </c>
      <c r="F31" s="19" t="inlineStr">
        <is>
          <t>Estoque atual utilizado no cálculo.</t>
        </is>
      </c>
    </row>
    <row r="32">
      <c r="A32" s="19" t="inlineStr">
        <is>
          <t>1</t>
        </is>
      </c>
      <c r="B32" s="19" t="inlineStr">
        <is>
          <t>Disponibilidade de compra</t>
        </is>
      </c>
      <c r="C32" s="19" t="inlineStr"/>
      <c r="D32" s="19" t="inlineStr">
        <is>
          <t>SE(Volume limite &gt; Estoque; Volume limite − Estoque; 0)</t>
        </is>
      </c>
      <c r="E32" s="20" t="n">
        <v>80.16667</v>
      </c>
      <c r="F32" s="19" t="inlineStr">
        <is>
          <t>Se o estoque já cobre o limite, não há disponibilidade.</t>
        </is>
      </c>
    </row>
    <row r="33">
      <c r="A33" s="19" t="inlineStr">
        <is>
          <t>2</t>
        </is>
      </c>
      <c r="B33" s="19" t="inlineStr">
        <is>
          <t>Proporção ROL Família</t>
        </is>
      </c>
      <c r="C33" s="19">
        <f>B14</f>
        <v/>
      </c>
      <c r="D33" s="19" t="inlineStr">
        <is>
          <t>(Soma 6 meses embalagem/frete ÷ Soma 6 meses família) × Meta ROL família</t>
        </is>
      </c>
      <c r="E33" s="20" t="n">
        <v>17.31879</v>
      </c>
      <c r="F33" s="19" t="inlineStr">
        <is>
          <t>Proporção faturada dos últimos 6 meses considerando a família.</t>
        </is>
      </c>
    </row>
    <row r="34">
      <c r="A34" s="19" t="inlineStr">
        <is>
          <t>2</t>
        </is>
      </c>
      <c r="B34" s="19" t="inlineStr">
        <is>
          <t>Volume Proporção Família</t>
        </is>
      </c>
      <c r="C34" s="19" t="inlineStr"/>
      <c r="D34" s="19" t="inlineStr">
        <is>
          <t>Proporção ROL família/embalagem/frete ÷ Preço ROL/cx</t>
        </is>
      </c>
      <c r="E34" s="19" t="inlineStr">
        <is>
          <t>—</t>
        </is>
      </c>
      <c r="F34" s="19" t="inlineStr">
        <is>
          <t>Transforma a proporção ROL em volume.</t>
        </is>
      </c>
    </row>
    <row r="35">
      <c r="A35" s="19" t="inlineStr">
        <is>
          <t>3</t>
        </is>
      </c>
      <c r="B35" s="19" t="inlineStr">
        <is>
          <t>Proporção ROL Agrupamento</t>
        </is>
      </c>
      <c r="C35" s="19">
        <f>D14</f>
        <v/>
      </c>
      <c r="D35" s="19" t="inlineStr">
        <is>
          <t>(Soma 6 meses família/embalagem/frete ÷ Soma 6 meses agrupamento) × Meta ROL agrupamento</t>
        </is>
      </c>
      <c r="E35" s="20" t="n">
        <v>16.48396</v>
      </c>
      <c r="F35" s="19" t="inlineStr">
        <is>
          <t>Proporção faturada dos últimos 6 meses considerando o agrupamento.</t>
        </is>
      </c>
    </row>
    <row r="36">
      <c r="A36" s="19" t="inlineStr">
        <is>
          <t>3</t>
        </is>
      </c>
      <c r="B36" s="19" t="inlineStr">
        <is>
          <t>Volume Proporção Agrupamento</t>
        </is>
      </c>
      <c r="C36" s="19" t="inlineStr"/>
      <c r="D36" s="19" t="inlineStr">
        <is>
          <t>Proporção ROL agrupamento/família/embalagem/frete ÷ Preço ROL/cx</t>
        </is>
      </c>
      <c r="E36" s="19" t="inlineStr">
        <is>
          <t>—</t>
        </is>
      </c>
      <c r="F36" s="19" t="inlineStr">
        <is>
          <t>Transforma a proporção ROL em volume.</t>
        </is>
      </c>
    </row>
    <row r="37">
      <c r="A37" s="19" t="inlineStr">
        <is>
          <t>4</t>
        </is>
      </c>
      <c r="B37" s="19" t="inlineStr">
        <is>
          <t>Entradas do Algoritmo Genético</t>
        </is>
      </c>
      <c r="C37" s="19" t="inlineStr"/>
      <c r="D37" s="19" t="inlineStr">
        <is>
          <t>Disponibilidade + restrições de proporção</t>
        </is>
      </c>
      <c r="E37" s="19" t="inlineStr">
        <is>
          <t>—</t>
        </is>
      </c>
      <c r="F37" s="19" t="inlineStr">
        <is>
          <t>O GA combina as restrições para encontrar a sugestão.</t>
        </is>
      </c>
    </row>
    <row r="38">
      <c r="A38" s="19" t="inlineStr">
        <is>
          <t>4</t>
        </is>
      </c>
      <c r="B38" s="19" t="inlineStr">
        <is>
          <t>Volume sugerido</t>
        </is>
      </c>
      <c r="C38" s="19" t="inlineStr"/>
      <c r="D38" s="19" t="inlineStr">
        <is>
          <t>Saída do Algoritmo Genético</t>
        </is>
      </c>
      <c r="E38" s="20" t="n">
        <v>17.31879</v>
      </c>
      <c r="F38" s="19" t="inlineStr">
        <is>
          <t>Resultado final antes da regra de ruptura para canal direto.</t>
        </is>
      </c>
    </row>
    <row r="39">
      <c r="A39" s="19" t="inlineStr">
        <is>
          <t>5</t>
        </is>
      </c>
      <c r="B39" s="19" t="inlineStr">
        <is>
          <t>Ruptura</t>
        </is>
      </c>
      <c r="C39" s="19" t="inlineStr"/>
      <c r="D39" s="19" t="inlineStr">
        <is>
          <t>Nº SKUs em ruptura ÷ Nº total de SKUs</t>
        </is>
      </c>
      <c r="E39" s="20" t="n">
        <v>1</v>
      </c>
      <c r="F39" s="19" t="inlineStr">
        <is>
          <t>Indicador usado quando o canal é direto.</t>
        </is>
      </c>
    </row>
    <row r="40">
      <c r="A40" s="19" t="inlineStr">
        <is>
          <t>5</t>
        </is>
      </c>
      <c r="B40" s="19" t="inlineStr">
        <is>
          <t>Ajuste por ruptura</t>
        </is>
      </c>
      <c r="C40" s="19" t="inlineStr"/>
      <c r="D40" s="19" t="inlineStr">
        <is>
          <t>Volume sugerido × [1 + (0,3 × Ruptura)]</t>
        </is>
      </c>
      <c r="E40" s="19" t="inlineStr">
        <is>
          <t>—</t>
        </is>
      </c>
      <c r="F40" s="19" t="inlineStr">
        <is>
          <t>Acréscimo de até 30% proporcional à ruptura.</t>
        </is>
      </c>
    </row>
    <row r="42">
      <c r="A42" s="23" t="inlineStr">
        <is>
          <t>⚠️ A Pasta1.xlsx enviada está protegida por Microsoft Information Protection/RMS e não pôde ser lida neste ambiente. Para não inventar dados, usei os valores de exemplo que estão visíveis nas imagens fornecidas. Com uma cópia sem essa proteção, a aba DADOS_EXEMPLO pode ser substituída diretamente pela base real.</t>
        </is>
      </c>
    </row>
    <row r="43"/>
  </sheetData>
  <mergeCells count="15">
    <mergeCell ref="A26:L26"/>
    <mergeCell ref="A5:D5"/>
    <mergeCell ref="A42:L43"/>
    <mergeCell ref="A11:L11"/>
    <mergeCell ref="A1:L2"/>
    <mergeCell ref="J18:L20"/>
    <mergeCell ref="C18:D22"/>
    <mergeCell ref="A18:B22"/>
    <mergeCell ref="G18:H22"/>
    <mergeCell ref="E18:F22"/>
    <mergeCell ref="J17:L17"/>
    <mergeCell ref="H28:L28"/>
    <mergeCell ref="A3:L3"/>
    <mergeCell ref="H29:L35"/>
    <mergeCell ref="A17:H17"/>
  </mergeCells>
  <dataValidations count="1">
    <dataValidation sqref="B12 B14 D12 D14 F12 F14 H12 H14 J12 J14 L12" showDropDown="0" showInputMessage="0" showErrorMessage="0" allowBlank="0" errorTitle="Valor inválido" error="Digite um número maior ou igual a zero." type="decimal" operator="greaterThanOrEqual">
      <formula1>0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8064A2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58" customWidth="1" min="4" max="4"/>
    <col width="18" customWidth="1" min="5" max="5"/>
    <col width="40" customWidth="1" min="6" max="6"/>
  </cols>
  <sheetData>
    <row r="1">
      <c r="A1" s="24" t="inlineStr">
        <is>
          <t>MEMÓRIA DE CÁLCULO — VISÃO TÉCNICA</t>
        </is>
      </c>
    </row>
    <row r="3">
      <c r="A3" s="25" t="inlineStr">
        <is>
          <t>Etapa</t>
        </is>
      </c>
      <c r="B3" s="25" t="inlineStr">
        <is>
          <t>Variável</t>
        </is>
      </c>
      <c r="C3" s="25" t="inlineStr">
        <is>
          <t>Valor exemplo</t>
        </is>
      </c>
      <c r="D3" s="25" t="inlineStr">
        <is>
          <t>Regra / fórmula</t>
        </is>
      </c>
      <c r="E3" s="25" t="inlineStr">
        <is>
          <t>Origem</t>
        </is>
      </c>
      <c r="F3" s="25" t="inlineStr">
        <is>
          <t>Observação</t>
        </is>
      </c>
    </row>
    <row r="4">
      <c r="A4" s="19" t="inlineStr">
        <is>
          <t>1</t>
        </is>
      </c>
      <c r="B4" s="19" t="inlineStr">
        <is>
          <t>Sell-out</t>
        </is>
      </c>
      <c r="C4" s="20" t="n">
        <v>69.5</v>
      </c>
      <c r="D4" s="19" t="inlineStr">
        <is>
          <t>Sell-out mais recente</t>
        </is>
      </c>
      <c r="E4" s="19" t="inlineStr">
        <is>
          <t>Entrada</t>
        </is>
      </c>
      <c r="F4" s="19" t="inlineStr">
        <is>
          <t>Sem PDV/meta</t>
        </is>
      </c>
    </row>
    <row r="5">
      <c r="A5" s="19" t="inlineStr">
        <is>
          <t>1</t>
        </is>
      </c>
      <c r="B5" s="19" t="inlineStr">
        <is>
          <t>Sell-out diário</t>
        </is>
      </c>
      <c r="C5" s="20" t="n">
        <v>2.316666666666667</v>
      </c>
      <c r="D5" s="19" t="inlineStr">
        <is>
          <t>Sell-out ÷ 30</t>
        </is>
      </c>
      <c r="E5" s="19" t="inlineStr">
        <is>
          <t>Calculado</t>
        </is>
      </c>
      <c r="F5" s="19" t="inlineStr"/>
    </row>
    <row r="6">
      <c r="A6" s="19" t="inlineStr">
        <is>
          <t>1</t>
        </is>
      </c>
      <c r="B6" s="19" t="inlineStr">
        <is>
          <t>Volume limite</t>
        </is>
      </c>
      <c r="C6" s="20" t="n">
        <v>92.66667</v>
      </c>
      <c r="D6" s="19" t="inlineStr">
        <is>
          <t>Sell-out diário × 45</t>
        </is>
      </c>
      <c r="E6" s="19" t="inlineStr">
        <is>
          <t>Calculado</t>
        </is>
      </c>
      <c r="F6" s="19" t="inlineStr"/>
    </row>
    <row r="7">
      <c r="A7" s="19" t="inlineStr">
        <is>
          <t>1</t>
        </is>
      </c>
      <c r="B7" s="19" t="inlineStr">
        <is>
          <t>Estoque</t>
        </is>
      </c>
      <c r="C7" s="20" t="n">
        <v>12.5</v>
      </c>
      <c r="D7" s="19" t="inlineStr">
        <is>
          <t>Estoque mais recente ou 0</t>
        </is>
      </c>
      <c r="E7" s="19" t="inlineStr">
        <is>
          <t>Entrada</t>
        </is>
      </c>
      <c r="F7" s="19" t="inlineStr"/>
    </row>
    <row r="8">
      <c r="A8" s="19" t="inlineStr">
        <is>
          <t>1</t>
        </is>
      </c>
      <c r="B8" s="19" t="inlineStr">
        <is>
          <t>Disponibilidade</t>
        </is>
      </c>
      <c r="C8" s="20" t="n">
        <v>80.16667</v>
      </c>
      <c r="D8" s="19" t="inlineStr">
        <is>
          <t>MAX(Volume limite − Estoque; 0)</t>
        </is>
      </c>
      <c r="E8" s="19" t="inlineStr">
        <is>
          <t>Calculado</t>
        </is>
      </c>
      <c r="F8" s="19" t="inlineStr"/>
    </row>
    <row r="9">
      <c r="A9" s="19" t="inlineStr">
        <is>
          <t>2</t>
        </is>
      </c>
      <c r="B9" s="19" t="inlineStr">
        <is>
          <t>Proporção ROL Família</t>
        </is>
      </c>
      <c r="C9" s="20" t="n">
        <v>17.31879</v>
      </c>
      <c r="D9" s="19" t="inlineStr">
        <is>
          <t>(Soma 6m embalagem/frete ÷ Soma 6m família) × Meta ROL família</t>
        </is>
      </c>
      <c r="E9" s="19" t="inlineStr">
        <is>
          <t>Regra</t>
        </is>
      </c>
      <c r="F9" s="19" t="inlineStr"/>
    </row>
    <row r="10">
      <c r="A10" s="19" t="inlineStr">
        <is>
          <t>2</t>
        </is>
      </c>
      <c r="B10" s="19" t="inlineStr">
        <is>
          <t>Volume Proporção Família</t>
        </is>
      </c>
      <c r="C10" s="19" t="inlineStr">
        <is>
          <t>—</t>
        </is>
      </c>
      <c r="D10" s="19" t="inlineStr">
        <is>
          <t>Proporção ROL ÷ Preço ROL/cx</t>
        </is>
      </c>
      <c r="E10" s="19" t="inlineStr">
        <is>
          <t>Calculado</t>
        </is>
      </c>
      <c r="F10" s="19" t="inlineStr">
        <is>
          <t>Preencher com a saída oficial do motor</t>
        </is>
      </c>
    </row>
    <row r="11">
      <c r="A11" s="19" t="inlineStr">
        <is>
          <t>3</t>
        </is>
      </c>
      <c r="B11" s="19" t="inlineStr">
        <is>
          <t>Proporção ROL Agrupamento</t>
        </is>
      </c>
      <c r="C11" s="20" t="n">
        <v>16.48396</v>
      </c>
      <c r="D11" s="19" t="inlineStr">
        <is>
          <t>(Soma 6m família/embalagem/frete ÷ Soma 6m agrupamento) × Meta ROL agrupamento</t>
        </is>
      </c>
      <c r="E11" s="19" t="inlineStr">
        <is>
          <t>Regra</t>
        </is>
      </c>
      <c r="F11" s="19" t="inlineStr"/>
    </row>
    <row r="12">
      <c r="A12" s="19" t="inlineStr">
        <is>
          <t>3</t>
        </is>
      </c>
      <c r="B12" s="19" t="inlineStr">
        <is>
          <t>Volume Proporção Agrupamento</t>
        </is>
      </c>
      <c r="C12" s="19" t="inlineStr">
        <is>
          <t>—</t>
        </is>
      </c>
      <c r="D12" s="19" t="inlineStr">
        <is>
          <t>Proporção ROL ÷ Preço ROL/cx</t>
        </is>
      </c>
      <c r="E12" s="19" t="inlineStr">
        <is>
          <t>Calculado</t>
        </is>
      </c>
      <c r="F12" s="19" t="inlineStr">
        <is>
          <t>Preencher com a saída oficial do motor</t>
        </is>
      </c>
    </row>
    <row r="13">
      <c r="A13" s="19" t="inlineStr">
        <is>
          <t>4</t>
        </is>
      </c>
      <c r="B13" s="19" t="inlineStr">
        <is>
          <t>Volume sugerido</t>
        </is>
      </c>
      <c r="C13" s="20" t="n">
        <v>17.31879</v>
      </c>
      <c r="D13" s="19" t="inlineStr">
        <is>
          <t>Saída do Algoritmo Genético</t>
        </is>
      </c>
      <c r="E13" s="19" t="inlineStr">
        <is>
          <t>Motor</t>
        </is>
      </c>
      <c r="F13" s="19" t="inlineStr"/>
    </row>
    <row r="14">
      <c r="A14" s="19" t="inlineStr">
        <is>
          <t>5</t>
        </is>
      </c>
      <c r="B14" s="19" t="inlineStr">
        <is>
          <t>Ruptura</t>
        </is>
      </c>
      <c r="C14" s="20" t="n">
        <v>1</v>
      </c>
      <c r="D14" s="19" t="inlineStr">
        <is>
          <t>Nº SKUs em ruptura ÷ Nº total de SKUs</t>
        </is>
      </c>
      <c r="E14" s="19" t="inlineStr">
        <is>
          <t>Motor</t>
        </is>
      </c>
      <c r="F14" s="19" t="inlineStr">
        <is>
          <t>Canal direto</t>
        </is>
      </c>
    </row>
    <row r="15">
      <c r="A15" s="19" t="inlineStr">
        <is>
          <t>5</t>
        </is>
      </c>
      <c r="B15" s="19" t="inlineStr">
        <is>
          <t>Ajuste ruptura</t>
        </is>
      </c>
      <c r="C15" s="19" t="inlineStr">
        <is>
          <t>—</t>
        </is>
      </c>
      <c r="D15" s="19" t="inlineStr">
        <is>
          <t>Volume × [1 + (0,3 × Ruptura)]</t>
        </is>
      </c>
      <c r="E15" s="19" t="inlineStr">
        <is>
          <t>Calculado</t>
        </is>
      </c>
      <c r="F15" s="19" t="inlineStr">
        <is>
          <t>Máx. +30%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A6A6"/>
    <outlinePr summaryBelow="1" summaryRight="1"/>
    <pageSetUpPr/>
  </sheetPr>
  <dimension ref="A1:W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  <col width="17" customWidth="1" min="15" max="15"/>
    <col width="16" customWidth="1" min="16" max="16"/>
    <col width="25" customWidth="1" min="17" max="17"/>
    <col width="26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6" t="inlineStr">
        <is>
          <t>DADOS DE EXEMPLO — base utilizada para a máscara</t>
        </is>
      </c>
    </row>
    <row r="3">
      <c r="A3" s="18" t="inlineStr">
        <is>
          <t>Cliente</t>
        </is>
      </c>
      <c r="B3" s="18" t="inlineStr">
        <is>
          <t>Agrupamento</t>
        </is>
      </c>
      <c r="C3" s="18" t="inlineStr">
        <is>
          <t>Família</t>
        </is>
      </c>
      <c r="D3" s="18" t="inlineStr">
        <is>
          <t>Embalagem</t>
        </is>
      </c>
      <c r="E3" s="18" t="inlineStr">
        <is>
          <t>Frete</t>
        </is>
      </c>
      <c r="F3" s="18" t="inlineStr">
        <is>
          <t>CD</t>
        </is>
      </c>
      <c r="G3" s="18" t="inlineStr">
        <is>
          <t>Mês</t>
        </is>
      </c>
      <c r="H3" s="18" t="inlineStr">
        <is>
          <t>Ano</t>
        </is>
      </c>
      <c r="I3" s="18" t="inlineStr">
        <is>
          <t>Média Vol</t>
        </is>
      </c>
      <c r="J3" s="18" t="inlineStr">
        <is>
          <t>Disp Estoq</t>
        </is>
      </c>
      <c r="K3" s="18" t="inlineStr">
        <is>
          <t>Estoque</t>
        </is>
      </c>
      <c r="L3" s="18" t="inlineStr">
        <is>
          <t>Sellout</t>
        </is>
      </c>
      <c r="M3" s="18" t="inlineStr">
        <is>
          <t>Vol Limite</t>
        </is>
      </c>
      <c r="N3" s="18" t="inlineStr">
        <is>
          <t>Meta ROL Família</t>
        </is>
      </c>
      <c r="O3" s="18" t="inlineStr">
        <is>
          <t>ROL Histórico</t>
        </is>
      </c>
      <c r="P3" s="18" t="inlineStr">
        <is>
          <t>Preço ROL/cx</t>
        </is>
      </c>
      <c r="Q3" s="18" t="inlineStr">
        <is>
          <t>Proporção ROL Família</t>
        </is>
      </c>
      <c r="R3" s="18" t="inlineStr">
        <is>
          <t>Proporção ROL Agrupamento</t>
        </is>
      </c>
      <c r="S3" s="18" t="inlineStr">
        <is>
          <t>Volume_S</t>
        </is>
      </c>
      <c r="T3" s="18" t="inlineStr">
        <is>
          <t>Sugestão</t>
        </is>
      </c>
      <c r="U3" s="18" t="inlineStr">
        <is>
          <t>Ruptura</t>
        </is>
      </c>
      <c r="V3" s="18" t="inlineStr">
        <is>
          <t>Incremento</t>
        </is>
      </c>
    </row>
    <row r="4">
      <c r="A4" s="27" t="inlineStr">
        <is>
          <t>2969</t>
        </is>
      </c>
      <c r="B4" s="27" t="inlineStr">
        <is>
          <t>ESTRELAS</t>
        </is>
      </c>
      <c r="C4" s="27" t="inlineStr">
        <is>
          <t>LAVA ROUPA</t>
        </is>
      </c>
      <c r="D4" s="27" t="inlineStr">
        <is>
          <t>4X5000ML</t>
        </is>
      </c>
      <c r="E4" s="27" t="inlineStr">
        <is>
          <t>FOB</t>
        </is>
      </c>
      <c r="F4" s="27" t="inlineStr">
        <is>
          <t>CD01</t>
        </is>
      </c>
      <c r="G4" s="28" t="n">
        <v>9</v>
      </c>
      <c r="H4" s="28" t="n">
        <v>2026</v>
      </c>
      <c r="I4" s="28" t="n">
        <v>0</v>
      </c>
      <c r="J4" s="28" t="n">
        <v>80.16667</v>
      </c>
      <c r="K4" s="28" t="n">
        <v>12.5</v>
      </c>
      <c r="L4" s="28" t="n">
        <v>69.5</v>
      </c>
      <c r="M4" s="28" t="n">
        <v>92.66667</v>
      </c>
      <c r="N4" s="28" t="n">
        <v>4371.598</v>
      </c>
      <c r="O4" s="28" t="n">
        <v>0</v>
      </c>
      <c r="P4" s="28" t="n">
        <v>114.6995</v>
      </c>
      <c r="Q4" s="28" t="n">
        <v>17.31879</v>
      </c>
      <c r="R4" s="28" t="n">
        <v>16.48396</v>
      </c>
      <c r="S4" s="28" t="n">
        <v>22.51443</v>
      </c>
      <c r="T4" s="28" t="n">
        <v>17.31879</v>
      </c>
      <c r="U4" s="28" t="n">
        <v>1</v>
      </c>
      <c r="V4" s="28" t="n">
        <v>5.195637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75" customWidth="1" min="3" max="3"/>
    <col width="34" customWidth="1" min="4" max="4"/>
  </cols>
  <sheetData>
    <row r="1">
      <c r="A1" s="24" t="inlineStr">
        <is>
          <t>REGRAS UTILIZADAS NO SIMULADOR</t>
        </is>
      </c>
    </row>
    <row r="3">
      <c r="A3" s="25" t="inlineStr">
        <is>
          <t>#</t>
        </is>
      </c>
      <c r="B3" s="25" t="inlineStr">
        <is>
          <t>Regra</t>
        </is>
      </c>
      <c r="C3" s="25" t="inlineStr">
        <is>
          <t>Descrição</t>
        </is>
      </c>
      <c r="D3" s="25" t="inlineStr">
        <is>
          <t>Observação</t>
        </is>
      </c>
    </row>
    <row r="4">
      <c r="A4" s="19" t="inlineStr">
        <is>
          <t>1</t>
        </is>
      </c>
      <c r="B4" s="19" t="inlineStr">
        <is>
          <t>Sell-out</t>
        </is>
      </c>
      <c r="C4" s="19" t="inlineStr">
        <is>
          <t>Se houver Sell-out recente, utiliza o Sell-out mais recente. Caso contrário, usar a média de Sell-in de 6 meses / 45 × 30, conforme fluxograma.</t>
        </is>
      </c>
      <c r="D4" s="19" t="inlineStr">
        <is>
          <t>Sell-out Meta/PDV ignorado.</t>
        </is>
      </c>
    </row>
    <row r="5">
      <c r="A5" s="19" t="inlineStr">
        <is>
          <t>2</t>
        </is>
      </c>
      <c r="B5" s="19" t="inlineStr">
        <is>
          <t>Volume limite</t>
        </is>
      </c>
      <c r="C5" s="19" t="inlineStr">
        <is>
          <t>Sell-out diário × Dias de estoque ideal (45).</t>
        </is>
      </c>
      <c r="D5" s="19" t="inlineStr">
        <is>
          <t>Define o máximo de cobertura.</t>
        </is>
      </c>
    </row>
    <row r="6">
      <c r="A6" s="19" t="inlineStr">
        <is>
          <t>3</t>
        </is>
      </c>
      <c r="B6" s="19" t="inlineStr">
        <is>
          <t>Disponibilidade</t>
        </is>
      </c>
      <c r="C6" s="19" t="inlineStr">
        <is>
          <t>Se Volume Limite &gt; Estoque: Volume Limite − Estoque. Caso contrário: 0.</t>
        </is>
      </c>
      <c r="D6" s="19" t="inlineStr">
        <is>
          <t>Evita sugerir compra quando há superestoque.</t>
        </is>
      </c>
    </row>
    <row r="7">
      <c r="A7" s="19" t="inlineStr">
        <is>
          <t>4</t>
        </is>
      </c>
      <c r="B7" s="19" t="inlineStr">
        <is>
          <t>ROL Família</t>
        </is>
      </c>
      <c r="C7" s="19" t="inlineStr">
        <is>
          <t>(Soma 6 meses embalagem/frete ÷ Soma 6 meses família) × Meta ROL família.</t>
        </is>
      </c>
      <c r="D7" s="19" t="inlineStr">
        <is>
          <t>Regra transcrita do fluxograma.</t>
        </is>
      </c>
    </row>
    <row r="8">
      <c r="A8" s="19" t="inlineStr">
        <is>
          <t>5</t>
        </is>
      </c>
      <c r="B8" s="19" t="inlineStr">
        <is>
          <t>Volume Proporção Família</t>
        </is>
      </c>
      <c r="C8" s="19" t="inlineStr">
        <is>
          <t>Proporção ROL família/embalagem/frete ÷ Preço ROL/cx.</t>
        </is>
      </c>
      <c r="D8" s="19" t="inlineStr">
        <is>
          <t>Transforma ROL em volume.</t>
        </is>
      </c>
    </row>
    <row r="9">
      <c r="A9" s="19" t="inlineStr">
        <is>
          <t>6</t>
        </is>
      </c>
      <c r="B9" s="19" t="inlineStr">
        <is>
          <t>ROL Agrupamento</t>
        </is>
      </c>
      <c r="C9" s="19" t="inlineStr">
        <is>
          <t>(Soma 6 meses família/embalagem/frete ÷ Soma 6 meses agrupamento) × Meta ROL agrupamento.</t>
        </is>
      </c>
      <c r="D9" s="19" t="inlineStr">
        <is>
          <t>Regra transcrita do fluxograma.</t>
        </is>
      </c>
    </row>
    <row r="10">
      <c r="A10" s="19" t="inlineStr">
        <is>
          <t>7</t>
        </is>
      </c>
      <c r="B10" s="19" t="inlineStr">
        <is>
          <t>Volume Proporção Agrupamento</t>
        </is>
      </c>
      <c r="C10" s="19" t="inlineStr">
        <is>
          <t>Proporção ROL agrupamento/família/embalagem/frete ÷ Preço ROL/cx.</t>
        </is>
      </c>
      <c r="D10" s="19" t="inlineStr">
        <is>
          <t>Transforma ROL em volume.</t>
        </is>
      </c>
    </row>
    <row r="11">
      <c r="A11" s="19" t="inlineStr">
        <is>
          <t>8</t>
        </is>
      </c>
      <c r="B11" s="19" t="inlineStr">
        <is>
          <t>Algoritmo Genético</t>
        </is>
      </c>
      <c r="C11" s="19" t="inlineStr">
        <is>
          <t>Recebe disponibilidade e restrições de proporção para encontrar o volume sugerido.</t>
        </is>
      </c>
      <c r="D11" s="19" t="inlineStr">
        <is>
          <t>A implementação do GA permanece no motor oficial.</t>
        </is>
      </c>
    </row>
    <row r="12">
      <c r="A12" s="19" t="inlineStr">
        <is>
          <t>9</t>
        </is>
      </c>
      <c r="B12" s="19" t="inlineStr">
        <is>
          <t>Ruptura — canal direto</t>
        </is>
      </c>
      <c r="C12" s="19" t="inlineStr">
        <is>
          <t>Ruptura = Nº SKUs em ruptura ÷ Nº total de SKUs.</t>
        </is>
      </c>
      <c r="D12" s="19" t="inlineStr">
        <is>
          <t>Se aplicável, aumenta a sugestão.</t>
        </is>
      </c>
    </row>
    <row r="13">
      <c r="A13" s="19" t="inlineStr">
        <is>
          <t>10</t>
        </is>
      </c>
      <c r="B13" s="19" t="inlineStr">
        <is>
          <t>Ajuste de ruptura</t>
        </is>
      </c>
      <c r="C13" s="19" t="inlineStr">
        <is>
          <t>Volume sugerido × [1 + (0,3 × Ruptura)].</t>
        </is>
      </c>
      <c r="D13" s="19" t="inlineStr">
        <is>
          <t>Máximo teórico de +30%.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2026-10-06T19:32:50Z</dcterms:created>
  <dcterms:modified xmlns:dcterms="http://purl.org/dc/terms/" xmlns:xsi="http://www.w3.org/2001/XMLSchema-instance" xsi:type="dcterms:W3CDTF">2026-10-06T19:32:50Z</dcterms:modified>
</cp:coreProperties>
</file>