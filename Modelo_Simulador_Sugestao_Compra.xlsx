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  <sheet xmlns:r="http://schemas.openxmlformats.org/officeDocument/2006/relationships" name="CALCULOS" sheetId="2" state="visible" r:id="rId2"/>
    <sheet xmlns:r="http://schemas.openxmlformats.org/officeDocument/2006/relationships" name="BASE" sheetId="3" state="visible" r:id="rId3"/>
  </sheets>
  <definedNames>
    <definedName name="_xlnm.Print_Area" localSheetId="0">'SIMULADOR'!$A$1:$L$38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 &quot;dias&quot;"/>
  </numFmts>
  <fonts count="11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66666"/>
      <sz val="10"/>
    </font>
    <font>
      <b val="1"/>
      <color rgb="00FFFFFF"/>
      <sz val="12"/>
    </font>
    <font>
      <b val="1"/>
      <color rgb="0017365D"/>
    </font>
    <font>
      <b val="1"/>
      <color rgb="0017365D"/>
      <sz val="9"/>
    </font>
    <font>
      <b val="1"/>
      <color rgb="0017365D"/>
      <sz val="11"/>
    </font>
    <font>
      <b val="1"/>
      <color rgb="0017365D"/>
      <sz val="10"/>
    </font>
    <font>
      <b val="1"/>
      <color rgb="00008C6E"/>
      <sz val="22"/>
    </font>
    <font>
      <b val="1"/>
      <color rgb="00FFFFFF"/>
    </font>
    <font>
      <b val="1"/>
      <color rgb="00FFFFFF"/>
      <sz val="16"/>
    </font>
  </fonts>
  <fills count="13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008C6E"/>
      </patternFill>
    </fill>
    <fill>
      <patternFill patternType="solid">
        <fgColor rgb="00EAF7F3"/>
      </patternFill>
    </fill>
    <fill>
      <patternFill patternType="solid">
        <fgColor rgb="00F5F9FD"/>
      </patternFill>
    </fill>
    <fill>
      <patternFill patternType="solid">
        <fgColor rgb="00FCE4D6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left"/>
    </xf>
    <xf numFmtId="0" fontId="5" fillId="0" borderId="0" pivotButton="0" quotePrefix="0" xfId="0"/>
    <xf numFmtId="4" fontId="6" fillId="4" borderId="1" pivotButton="0" quotePrefix="0" xfId="0"/>
    <xf numFmtId="164" fontId="6" fillId="4" borderId="1" pivotButton="0" quotePrefix="0" xfId="0"/>
    <xf numFmtId="1" fontId="6" fillId="4" borderId="1" pivotButton="0" quotePrefix="0" xfId="0"/>
    <xf numFmtId="0" fontId="3" fillId="8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/>
    </xf>
    <xf numFmtId="164" fontId="6" fillId="10" borderId="1" pivotButton="0" quotePrefix="0" xfId="0"/>
    <xf numFmtId="165" fontId="6" fillId="10" borderId="1" pivotButton="0" quotePrefix="0" xfId="0"/>
    <xf numFmtId="2" fontId="6" fillId="10" borderId="1" pivotButton="0" quotePrefix="0" xfId="0"/>
    <xf numFmtId="0" fontId="3" fillId="2" borderId="0" pivotButton="0" quotePrefix="0" xfId="0"/>
    <xf numFmtId="0" fontId="9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6" fillId="11" borderId="0" pivotButton="0" quotePrefix="0" xfId="0"/>
    <xf numFmtId="0" fontId="0" fillId="12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4" fontId="4" fillId="4" borderId="1" applyAlignment="1" pivotButton="0" quotePrefix="0" xfId="0">
      <alignment vertical="top" wrapText="1"/>
    </xf>
    <xf numFmtId="0" fontId="10" fillId="2" borderId="0" pivotButton="0" quotePrefix="0" xfId="0"/>
    <xf numFmtId="0" fontId="9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L3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🛒  SIMULADOR DE SUGESTÃO DE COMPRA</t>
        </is>
      </c>
    </row>
    <row r="2"/>
    <row r="3">
      <c r="A3" s="2" t="inlineStr">
        <is>
          <t>Altere os campos em azul para testar cenários e entender o impacto no volume sugerido.</t>
        </is>
      </c>
    </row>
    <row r="5">
      <c r="A5" s="3" t="inlineStr">
        <is>
          <t>① SELEÇÃO DO CENÁRIO</t>
        </is>
      </c>
    </row>
    <row r="6">
      <c r="A6" s="4" t="inlineStr">
        <is>
          <t>Cliente</t>
        </is>
      </c>
      <c r="B6" s="5" t="inlineStr">
        <is>
          <t>2969 - ESTRELAS</t>
        </is>
      </c>
    </row>
    <row r="7">
      <c r="A7" s="4" t="inlineStr">
        <is>
          <t>Produto</t>
        </is>
      </c>
      <c r="B7" s="5" t="inlineStr">
        <is>
          <t>LAVA ROUPA 4X3000ML CIF</t>
        </is>
      </c>
    </row>
    <row r="8">
      <c r="A8" s="4" t="inlineStr">
        <is>
          <t>CD</t>
        </is>
      </c>
      <c r="B8" s="5" t="inlineStr">
        <is>
          <t>CD01</t>
        </is>
      </c>
    </row>
    <row r="9">
      <c r="A9" s="4" t="inlineStr">
        <is>
          <t>Família</t>
        </is>
      </c>
      <c r="B9" s="5" t="inlineStr">
        <is>
          <t>LAVA ROUPA</t>
        </is>
      </c>
    </row>
    <row r="11">
      <c r="A11" s="3" t="inlineStr">
        <is>
          <t>② PARÂMETROS DE ENTRADA</t>
        </is>
      </c>
    </row>
    <row r="12">
      <c r="A12" s="6" t="inlineStr">
        <is>
          <t>Média de Volume</t>
        </is>
      </c>
      <c r="B12" s="7" t="n">
        <v>75.04000000000001</v>
      </c>
      <c r="C12" s="6" t="inlineStr">
        <is>
          <t>Estoque</t>
        </is>
      </c>
      <c r="D12" s="7" t="n">
        <v>95.55556</v>
      </c>
      <c r="E12" s="6" t="inlineStr">
        <is>
          <t>Sellout</t>
        </is>
      </c>
      <c r="F12" s="7" t="n">
        <v>25.66667</v>
      </c>
      <c r="G12" s="6" t="inlineStr">
        <is>
          <t>Volume Limite</t>
        </is>
      </c>
      <c r="H12" s="7" t="n">
        <v>34.22222</v>
      </c>
      <c r="I12" s="6" t="inlineStr">
        <is>
          <t>Meta ROL</t>
        </is>
      </c>
      <c r="J12" s="8" t="n">
        <v>155.584</v>
      </c>
      <c r="K12" s="6" t="inlineStr">
        <is>
          <t>Proporção</t>
        </is>
      </c>
      <c r="L12" s="7" t="n">
        <v>1.123682</v>
      </c>
    </row>
    <row r="14">
      <c r="A14" s="6" t="inlineStr">
        <is>
          <t>ROL Histórico</t>
        </is>
      </c>
      <c r="B14" s="8" t="n">
        <v>31168.93</v>
      </c>
      <c r="C14" s="6" t="inlineStr">
        <is>
          <t>Dias de Estoque</t>
        </is>
      </c>
      <c r="D14" s="9" t="n">
        <v>40</v>
      </c>
      <c r="E14" s="6" t="inlineStr">
        <is>
          <t>Vol. Limite Meta</t>
        </is>
      </c>
      <c r="F14" s="7" t="n">
        <v>4371.598</v>
      </c>
      <c r="G14" s="6" t="inlineStr">
        <is>
          <t>Incremento</t>
        </is>
      </c>
      <c r="H14" s="7" t="n">
        <v>0.144473</v>
      </c>
      <c r="I14" s="6" t="inlineStr">
        <is>
          <t>Ruptura</t>
        </is>
      </c>
      <c r="J14" s="7" t="n">
        <v>0.428571</v>
      </c>
    </row>
    <row r="17">
      <c r="A17" s="3" t="inlineStr">
        <is>
          <t>③ COMO CHEGAMOS AO RESULTADO?</t>
        </is>
      </c>
      <c r="J17" s="10" t="inlineStr">
        <is>
          <t>④ RESULTADO DA SIMULAÇÃO</t>
        </is>
      </c>
    </row>
    <row r="18" ht="28" customHeight="1">
      <c r="A18" s="11" t="inlineStr">
        <is>
          <t>① DEMANDA BASE
Média de Volume × Proporção
Resultado: 84,04 cx</t>
        </is>
      </c>
      <c r="C18" s="12" t="inlineStr">
        <is>
          <t>② AJUSTE DE ESTOQUE
Considera estoque e cobertura desejada
Resultado: 92,67 cx</t>
        </is>
      </c>
      <c r="E18" s="13" t="inlineStr">
        <is>
          <t>③ LIMITES / METAS
Aplica limite, ROL e regras comerciais
Resultado: 38,21 cx</t>
        </is>
      </c>
      <c r="G18" s="14" t="inlineStr">
        <is>
          <t>④ VOLUME SUGERIDO
Resultado após todas as regras
Resultado: 34,70 cx</t>
        </is>
      </c>
      <c r="J18" s="15" t="inlineStr">
        <is>
          <t>VOLUME SUGERIDO
34,70 cx</t>
        </is>
      </c>
    </row>
    <row r="19" ht="28" customHeight="1"/>
    <row r="20" ht="28" customHeight="1"/>
    <row r="21" ht="28" customHeight="1">
      <c r="J21" s="4" t="inlineStr">
        <is>
          <t>ROL sugerido</t>
        </is>
      </c>
      <c r="K21" s="16" t="n">
        <v>4371.6</v>
      </c>
    </row>
    <row r="22">
      <c r="J22" s="4" t="inlineStr">
        <is>
          <t>Cobertura</t>
        </is>
      </c>
      <c r="K22" s="17" t="n">
        <v>51</v>
      </c>
    </row>
    <row r="23">
      <c r="J23" s="4" t="inlineStr">
        <is>
          <t>Incremento</t>
        </is>
      </c>
      <c r="K23" s="18" t="n">
        <v>1</v>
      </c>
    </row>
    <row r="24">
      <c r="J24" s="4" t="inlineStr">
        <is>
          <t>Ruptura</t>
        </is>
      </c>
      <c r="K24" s="18" t="n">
        <v>0.43</v>
      </c>
    </row>
    <row r="27">
      <c r="A27" s="19" t="inlineStr">
        <is>
          <t>⑤ MEMÓRIA DE CÁLCULO — preencha/ajuste as descrições e fórmulas conforme a regra oficial</t>
        </is>
      </c>
    </row>
    <row r="28">
      <c r="A28" s="20" t="inlineStr">
        <is>
          <t>Etapa</t>
        </is>
      </c>
      <c r="B28" s="20" t="inlineStr">
        <is>
          <t>Variável</t>
        </is>
      </c>
      <c r="C28" s="20" t="inlineStr">
        <is>
          <t>Valor de entrada</t>
        </is>
      </c>
      <c r="D28" s="20" t="inlineStr">
        <is>
          <t>Fórmula / Descrição</t>
        </is>
      </c>
      <c r="E28" s="20" t="inlineStr">
        <is>
          <t>Resultado</t>
        </is>
      </c>
    </row>
    <row r="29">
      <c r="A29" s="21" t="inlineStr">
        <is>
          <t>1</t>
        </is>
      </c>
      <c r="B29" s="21" t="inlineStr">
        <is>
          <t>Média de Volume</t>
        </is>
      </c>
      <c r="C29" s="22" t="n">
        <v>75.04000000000001</v>
      </c>
      <c r="D29" s="21" t="inlineStr">
        <is>
          <t>Média histórica utilizada como demanda base</t>
        </is>
      </c>
      <c r="E29" s="21" t="inlineStr"/>
      <c r="G29" s="23" t="inlineStr">
        <is>
          <t>💡 POR QUE O RESULTADO DEU 34,70 CX?</t>
        </is>
      </c>
    </row>
    <row r="30">
      <c r="A30" s="21" t="inlineStr">
        <is>
          <t>1</t>
        </is>
      </c>
      <c r="B30" s="21" t="inlineStr">
        <is>
          <t>Proporção</t>
        </is>
      </c>
      <c r="C30" s="22" t="n">
        <v>1.123682</v>
      </c>
      <c r="D30" s="21" t="inlineStr">
        <is>
          <t>Fator de ajuste da demanda</t>
        </is>
      </c>
      <c r="E30" s="21" t="inlineStr"/>
      <c r="G30" s="24" t="inlineStr">
        <is>
          <t>Use este espaço para uma explicação automática da regra que determinou o resultado. Exemplo: o volume calculado inicialmente foi superior ao limite aplicável; por isso a regra de limite foi acionada.</t>
        </is>
      </c>
    </row>
    <row r="31">
      <c r="A31" s="25" t="inlineStr">
        <is>
          <t>1</t>
        </is>
      </c>
      <c r="B31" s="25" t="inlineStr">
        <is>
          <t>Demanda ajustada</t>
        </is>
      </c>
      <c r="C31" s="25" t="inlineStr"/>
      <c r="D31" s="25" t="inlineStr">
        <is>
          <t>Média de Volume × Proporção</t>
        </is>
      </c>
      <c r="E31" s="26" t="n">
        <v>84.04000000000001</v>
      </c>
    </row>
    <row r="32">
      <c r="A32" s="21" t="inlineStr">
        <is>
          <t>2</t>
        </is>
      </c>
      <c r="B32" s="21" t="inlineStr">
        <is>
          <t>Estoque</t>
        </is>
      </c>
      <c r="C32" s="22" t="n">
        <v>95.55556</v>
      </c>
      <c r="D32" s="21" t="inlineStr">
        <is>
          <t>Estoque atual do cliente</t>
        </is>
      </c>
      <c r="E32" s="21" t="inlineStr"/>
    </row>
    <row r="33">
      <c r="A33" s="21" t="inlineStr">
        <is>
          <t>2</t>
        </is>
      </c>
      <c r="B33" s="21" t="inlineStr">
        <is>
          <t>Dias de Estoque</t>
        </is>
      </c>
      <c r="C33" s="22" t="n">
        <v>40</v>
      </c>
      <c r="D33" s="21" t="inlineStr">
        <is>
          <t>Cobertura desejada</t>
        </is>
      </c>
      <c r="E33" s="21" t="inlineStr"/>
    </row>
    <row r="34">
      <c r="A34" s="25" t="inlineStr">
        <is>
          <t>2</t>
        </is>
      </c>
      <c r="B34" s="25" t="inlineStr">
        <is>
          <t>Necessidade de reposição</t>
        </is>
      </c>
      <c r="C34" s="25" t="inlineStr"/>
      <c r="D34" s="25" t="inlineStr">
        <is>
          <t>Regra de reposição conforme cobertura</t>
        </is>
      </c>
      <c r="E34" s="26" t="n">
        <v>92.67</v>
      </c>
    </row>
    <row r="35">
      <c r="A35" s="21" t="inlineStr">
        <is>
          <t>3</t>
        </is>
      </c>
      <c r="B35" s="21" t="inlineStr">
        <is>
          <t>Volume Limite</t>
        </is>
      </c>
      <c r="C35" s="22" t="n">
        <v>34.22222</v>
      </c>
      <c r="D35" s="21" t="inlineStr">
        <is>
          <t>Limite máximo permitido</t>
        </is>
      </c>
      <c r="E35" s="21" t="inlineStr"/>
    </row>
    <row r="36">
      <c r="A36" s="21" t="inlineStr">
        <is>
          <t>3</t>
        </is>
      </c>
      <c r="B36" s="21" t="inlineStr">
        <is>
          <t>Meta ROL</t>
        </is>
      </c>
      <c r="C36" s="22" t="n">
        <v>155.584</v>
      </c>
      <c r="D36" s="21" t="inlineStr">
        <is>
          <t>Meta comercial utilizada na regra</t>
        </is>
      </c>
      <c r="E36" s="21" t="inlineStr"/>
    </row>
    <row r="37">
      <c r="A37" s="21" t="inlineStr">
        <is>
          <t>3</t>
        </is>
      </c>
      <c r="B37" s="21" t="inlineStr">
        <is>
          <t>ROL Histórico</t>
        </is>
      </c>
      <c r="C37" s="22" t="n">
        <v>31168.93</v>
      </c>
      <c r="D37" s="21" t="inlineStr">
        <is>
          <t>Referência histórica</t>
        </is>
      </c>
      <c r="E37" s="21" t="inlineStr"/>
    </row>
    <row r="38">
      <c r="A38" s="25" t="inlineStr">
        <is>
          <t>4</t>
        </is>
      </c>
      <c r="B38" s="25" t="inlineStr">
        <is>
          <t>Volume sugerido</t>
        </is>
      </c>
      <c r="C38" s="25" t="inlineStr"/>
      <c r="D38" s="25" t="inlineStr">
        <is>
          <t>Resultado após aplicação de todas as regras</t>
        </is>
      </c>
      <c r="E38" s="26" t="n">
        <v>34.7</v>
      </c>
    </row>
  </sheetData>
  <mergeCells count="14">
    <mergeCell ref="A27:L27"/>
    <mergeCell ref="A5:D5"/>
    <mergeCell ref="G18:H21"/>
    <mergeCell ref="A11:L11"/>
    <mergeCell ref="A1:L2"/>
    <mergeCell ref="J18:L20"/>
    <mergeCell ref="C18:D21"/>
    <mergeCell ref="A18:B21"/>
    <mergeCell ref="E18:F21"/>
    <mergeCell ref="J17:L17"/>
    <mergeCell ref="A3:L3"/>
    <mergeCell ref="G30:L34"/>
    <mergeCell ref="G29:L29"/>
    <mergeCell ref="A17:H17"/>
  </mergeCells>
  <conditionalFormatting sqref="B12:L14">
    <cfRule type="cellIs" priority="1" operator="lessThan" dxfId="0">
      <formula>0</formula>
    </cfRule>
  </conditionalFormatting>
  <dataValidations count="1">
    <dataValidation sqref="B12 B14 D12 D14 F12 F14 H12 H14 J12 J14 L12" showDropDown="0" showInputMessage="0" showErrorMessage="0" allowBlank="0" errorTitle="Valor inválido" error="Digite um número maior ou igual a zero." type="decimal" operator="greaterThanOrEqual">
      <formula1>0</formula1>
    </dataValidation>
  </dataValidation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tabColor rgb="008064A2"/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28" customWidth="1" min="4" max="4"/>
    <col width="20" customWidth="1" min="5" max="5"/>
    <col width="50" customWidth="1" min="6" max="6"/>
  </cols>
  <sheetData>
    <row r="1">
      <c r="A1" s="27" t="inlineStr">
        <is>
          <t>CALCULOS — área técnica</t>
        </is>
      </c>
    </row>
    <row r="3">
      <c r="A3" s="28" t="inlineStr">
        <is>
          <t>Etapa</t>
        </is>
      </c>
      <c r="B3" s="28" t="inlineStr">
        <is>
          <t>Variável</t>
        </is>
      </c>
      <c r="C3" s="28" t="inlineStr">
        <is>
          <t>Entrada</t>
        </is>
      </c>
      <c r="D3" s="28" t="inlineStr">
        <is>
          <t>Operação / Regra</t>
        </is>
      </c>
      <c r="E3" s="28" t="inlineStr">
        <is>
          <t>Resultado</t>
        </is>
      </c>
      <c r="F3" s="28" t="inlineStr">
        <is>
          <t>Descrição</t>
        </is>
      </c>
    </row>
    <row r="4">
      <c r="A4" s="21" t="inlineStr">
        <is>
          <t>1</t>
        </is>
      </c>
      <c r="B4" s="21" t="inlineStr">
        <is>
          <t>Média de Volume</t>
        </is>
      </c>
      <c r="C4" s="21">
        <f>SIMULADOR!B12</f>
        <v/>
      </c>
      <c r="D4" s="21" t="inlineStr">
        <is>
          <t>Entrada</t>
        </is>
      </c>
      <c r="E4" s="21">
        <f>C4</f>
        <v/>
      </c>
      <c r="F4" s="21" t="inlineStr">
        <is>
          <t>Média histórica</t>
        </is>
      </c>
    </row>
    <row r="5">
      <c r="A5" s="21" t="inlineStr">
        <is>
          <t>1</t>
        </is>
      </c>
      <c r="B5" s="21" t="inlineStr">
        <is>
          <t>Proporção</t>
        </is>
      </c>
      <c r="C5" s="21">
        <f>SIMULADOR!L12</f>
        <v/>
      </c>
      <c r="D5" s="21" t="inlineStr">
        <is>
          <t>Entrada</t>
        </is>
      </c>
      <c r="E5" s="21">
        <f>C5</f>
        <v/>
      </c>
      <c r="F5" s="21" t="inlineStr">
        <is>
          <t>Fator de ajuste</t>
        </is>
      </c>
    </row>
    <row r="6">
      <c r="A6" s="21" t="inlineStr">
        <is>
          <t>1</t>
        </is>
      </c>
      <c r="B6" s="21" t="inlineStr">
        <is>
          <t>Demanda ajustada</t>
        </is>
      </c>
      <c r="C6" s="21" t="inlineStr"/>
      <c r="D6" s="21">
        <f>C4*C5</f>
        <v/>
      </c>
      <c r="E6" s="21">
        <f>C4*C5</f>
        <v/>
      </c>
      <c r="F6" s="21" t="inlineStr">
        <is>
          <t>Exemplo de cálculo — substituir pela regra oficial</t>
        </is>
      </c>
    </row>
    <row r="7">
      <c r="A7" s="21" t="inlineStr">
        <is>
          <t>2</t>
        </is>
      </c>
      <c r="B7" s="21" t="inlineStr">
        <is>
          <t>Estoque</t>
        </is>
      </c>
      <c r="C7" s="21">
        <f>SIMULADOR!D12</f>
        <v/>
      </c>
      <c r="D7" s="21" t="inlineStr">
        <is>
          <t>Entrada</t>
        </is>
      </c>
      <c r="E7" s="21">
        <f>C7</f>
        <v/>
      </c>
      <c r="F7" s="21" t="inlineStr">
        <is>
          <t>Estoque atual</t>
        </is>
      </c>
    </row>
    <row r="8">
      <c r="A8" s="21" t="inlineStr">
        <is>
          <t>2</t>
        </is>
      </c>
      <c r="B8" s="21" t="inlineStr">
        <is>
          <t>Dias de Estoque</t>
        </is>
      </c>
      <c r="C8" s="21">
        <f>SIMULADOR!D14</f>
        <v/>
      </c>
      <c r="D8" s="21" t="inlineStr">
        <is>
          <t>Entrada</t>
        </is>
      </c>
      <c r="E8" s="21">
        <f>C8</f>
        <v/>
      </c>
      <c r="F8" s="21" t="inlineStr">
        <is>
          <t>Cobertura desejada</t>
        </is>
      </c>
    </row>
    <row r="9">
      <c r="A9" s="21" t="inlineStr">
        <is>
          <t>3</t>
        </is>
      </c>
      <c r="B9" s="21" t="inlineStr">
        <is>
          <t>Volume Limite</t>
        </is>
      </c>
      <c r="C9" s="21">
        <f>SIMULADOR!H12</f>
        <v/>
      </c>
      <c r="D9" s="21" t="inlineStr">
        <is>
          <t>Entrada</t>
        </is>
      </c>
      <c r="E9" s="21">
        <f>C10</f>
        <v/>
      </c>
      <c r="F9" s="21" t="inlineStr">
        <is>
          <t>Limite máximo</t>
        </is>
      </c>
    </row>
    <row r="10">
      <c r="A10" s="21" t="inlineStr">
        <is>
          <t>4</t>
        </is>
      </c>
      <c r="B10" s="21" t="inlineStr">
        <is>
          <t>Volume sugerido</t>
        </is>
      </c>
      <c r="C10" s="21" t="inlineStr"/>
      <c r="D10" s="21" t="inlineStr">
        <is>
          <t>Regra final</t>
        </is>
      </c>
      <c r="E10" s="21">
        <f>SIMULADOR!K18</f>
        <v/>
      </c>
      <c r="F10" s="21" t="inlineStr">
        <is>
          <t>Substituir pela fórmula oficial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7E6E6"/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4" customWidth="1" min="3" max="3"/>
    <col width="20" customWidth="1" min="4" max="4"/>
  </cols>
  <sheetData>
    <row r="1">
      <c r="A1" s="27" t="inlineStr">
        <is>
          <t>BASE — dados para listas e cenários</t>
        </is>
      </c>
    </row>
    <row r="3">
      <c r="A3" s="28" t="inlineStr">
        <is>
          <t>Cliente</t>
        </is>
      </c>
      <c r="B3" s="28" t="inlineStr">
        <is>
          <t>Produto</t>
        </is>
      </c>
      <c r="C3" s="28" t="inlineStr">
        <is>
          <t>CD</t>
        </is>
      </c>
      <c r="D3" s="28" t="inlineStr">
        <is>
          <t>Família</t>
        </is>
      </c>
    </row>
    <row r="4">
      <c r="A4" s="29" t="inlineStr">
        <is>
          <t>2969 - ESTRELAS</t>
        </is>
      </c>
      <c r="B4" s="29" t="inlineStr">
        <is>
          <t>LAVA ROUPA 4X3000ML CIF</t>
        </is>
      </c>
      <c r="C4" s="29" t="inlineStr">
        <is>
          <t>CD01</t>
        </is>
      </c>
      <c r="D4" s="29" t="inlineStr">
        <is>
          <t>LAVA ROUPA</t>
        </is>
      </c>
    </row>
    <row r="5">
      <c r="A5" s="29" t="inlineStr">
        <is>
          <t>2969 - ESTRELAS</t>
        </is>
      </c>
      <c r="B5" s="29" t="inlineStr">
        <is>
          <t>LAVA ROUPA 4X3000ML FOB</t>
        </is>
      </c>
      <c r="C5" s="29" t="inlineStr">
        <is>
          <t>CD01</t>
        </is>
      </c>
      <c r="D5" s="29" t="inlineStr">
        <is>
          <t>LAVA ROUPA</t>
        </is>
      </c>
    </row>
    <row r="6">
      <c r="A6" s="29" t="inlineStr">
        <is>
          <t>2969 - ESTRELAS</t>
        </is>
      </c>
      <c r="B6" s="29" t="inlineStr">
        <is>
          <t>LAVA ROUPA 1X7000ML FOB</t>
        </is>
      </c>
      <c r="C6" s="29" t="inlineStr">
        <is>
          <t>CD01</t>
        </is>
      </c>
      <c r="D6" s="29" t="inlineStr">
        <is>
          <t>LAVA ROUPA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2026-10-06T19:18:38Z</dcterms:created>
  <dcterms:modified xmlns:dcterms="http://purl.org/dc/terms/" xmlns:xsi="http://www.w3.org/2001/XMLSchema-instance" xsi:type="dcterms:W3CDTF">2026-10-06T19:18:38Z</dcterms:modified>
</cp:coreProperties>
</file>